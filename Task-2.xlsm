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Julaysa\Desktop\Общее\Программирование\Excel\VBA\"/>
    </mc:Choice>
  </mc:AlternateContent>
  <bookViews>
    <workbookView xWindow="0" yWindow="0" windowWidth="20490" windowHeight="7620"/>
  </bookViews>
  <sheets>
    <sheet name="Проекты (выгрузка)" sheetId="1" r:id="rId1"/>
    <sheet name="Затраты заказчика" sheetId="2" r:id="rId2"/>
    <sheet name="Зарплаты" sheetId="3" r:id="rId3"/>
  </sheets>
  <calcPr calcId="162913"/>
</workbook>
</file>

<file path=xl/calcChain.xml><?xml version="1.0" encoding="utf-8"?>
<calcChain xmlns="http://schemas.openxmlformats.org/spreadsheetml/2006/main">
  <c r="E21" i="2" l="1"/>
  <c r="E31" i="2"/>
  <c r="E41" i="2"/>
  <c r="E11" i="2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32" i="2"/>
  <c r="E3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22" i="2"/>
  <c r="E2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12" i="2"/>
  <c r="E12" i="2" s="1"/>
  <c r="D3" i="2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2" i="2"/>
  <c r="E2" i="2" s="1"/>
  <c r="D40" i="2" l="1"/>
  <c r="E40" i="2" s="1"/>
  <c r="D30" i="2"/>
  <c r="E30" i="2" s="1"/>
  <c r="D20" i="2"/>
  <c r="E20" i="2" s="1"/>
  <c r="D10" i="2"/>
  <c r="E10" i="2" s="1"/>
  <c r="D42" i="2" l="1"/>
  <c r="E42" i="2" s="1"/>
</calcChain>
</file>

<file path=xl/sharedStrings.xml><?xml version="1.0" encoding="utf-8"?>
<sst xmlns="http://schemas.openxmlformats.org/spreadsheetml/2006/main" count="352" uniqueCount="52">
  <si>
    <t>Проект</t>
  </si>
  <si>
    <t>Тип</t>
  </si>
  <si>
    <t>Задача</t>
  </si>
  <si>
    <t>Суть</t>
  </si>
  <si>
    <t>Заказчик</t>
  </si>
  <si>
    <t>Дата</t>
  </si>
  <si>
    <t>Исполнитель</t>
  </si>
  <si>
    <t>Залогированные часы</t>
  </si>
  <si>
    <t>Укрощение котят</t>
  </si>
  <si>
    <t>Task</t>
  </si>
  <si>
    <t>Тренировки</t>
  </si>
  <si>
    <t>тренируемся в укрощении</t>
  </si>
  <si>
    <t>Лев - царь зверей</t>
  </si>
  <si>
    <t>1/Mar/17 18:04</t>
  </si>
  <si>
    <t>Алчный торговец</t>
  </si>
  <si>
    <t>Драконы</t>
  </si>
  <si>
    <t>5/Mar/17 13:45</t>
  </si>
  <si>
    <t>Иван-царевич</t>
  </si>
  <si>
    <t>31/Mar/17 14:05</t>
  </si>
  <si>
    <t>Боевой конь</t>
  </si>
  <si>
    <t>31/Mar/17 15:26</t>
  </si>
  <si>
    <t>31/Mar/17 16:43</t>
  </si>
  <si>
    <t>Купить мячик</t>
  </si>
  <si>
    <t>Нужно купить мячик</t>
  </si>
  <si>
    <t>Серый Волк</t>
  </si>
  <si>
    <t>28/Mar/17 17:07</t>
  </si>
  <si>
    <t>Выковать меч</t>
  </si>
  <si>
    <t>Куем меч для победы над драконами</t>
  </si>
  <si>
    <t>01/Mar/17 14:32</t>
  </si>
  <si>
    <t>02/Mar/17 13:03</t>
  </si>
  <si>
    <t>09/Mar/17 17:39</t>
  </si>
  <si>
    <t>Найти принцессу</t>
  </si>
  <si>
    <t>Никто не знает, где на обитает</t>
  </si>
  <si>
    <t>10/Mar/17 13:47</t>
  </si>
  <si>
    <t>Поговорить с принцессой</t>
  </si>
  <si>
    <t>Спросить зачем нам убивать дракона?</t>
  </si>
  <si>
    <t>13/Mar/17 15:10</t>
  </si>
  <si>
    <t>Гномы</t>
  </si>
  <si>
    <t>Bug</t>
  </si>
  <si>
    <t>Гномы разбегаются</t>
  </si>
  <si>
    <t>Снусмумрик</t>
  </si>
  <si>
    <t xml:space="preserve">Гномы не слушаются </t>
  </si>
  <si>
    <t>Гномы финансируют драконов</t>
  </si>
  <si>
    <t>Имя</t>
  </si>
  <si>
    <t>Должность</t>
  </si>
  <si>
    <t>Выплата за месяц (рублей)</t>
  </si>
  <si>
    <t>Часы</t>
  </si>
  <si>
    <t>Стоимость часа</t>
  </si>
  <si>
    <t>Программист</t>
  </si>
  <si>
    <t>Менеджер проектов</t>
  </si>
  <si>
    <t>Погонщик гномов</t>
  </si>
  <si>
    <t>Петух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</si>
</sst>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color rgb="FF000000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3" fillId="2" borderId="0" xfId="0" applyFont="1" applyFill="1" applyAlignment="1"/>
    <xf numFmtId="0" fontId="3" fillId="2" borderId="0" xfId="0" applyFont="1" applyFill="1" applyAlignment="1"/>
    <xf numFmtId="0" fontId="3" fillId="0" borderId="0" xfId="0" applyFont="1" applyAlignment="1"/>
    <xf numFmtId="0" fontId="1" fillId="0" borderId="0" xfId="0" applyFont="1" applyAlignment="1"/>
    <xf numFmtId="4" fontId="2" fillId="0" borderId="0" xfId="0" applyNumberFormat="1" applyFont="1" applyAlignment="1">
      <alignment horizontal="right"/>
    </xf>
    <xf numFmtId="4" fontId="3" fillId="0" borderId="0" xfId="0" applyNumberFormat="1" applyFont="1" applyAlignment="1"/>
    <xf numFmtId="0" fontId="5" fillId="0" borderId="0" xfId="0" applyFont="1" applyAlignment="1"/>
    <xf numFmtId="0" fontId="7" fillId="0" borderId="0" xfId="0" applyFont="1" applyAlignment="1"/>
    <xf numFmtId="0" fontId="5" fillId="0" borderId="0" xfId="0" applyFont="1" applyAlignment="1">
      <alignment horizontal="right"/>
    </xf>
    <xf numFmtId="0" fontId="6" fillId="0" borderId="0" xfId="0" applyFont="1" applyAlignment="1"/>
    <xf numFmtId="0" fontId="6" fillId="0" borderId="0" xfId="0" applyFont="1" applyAlignment="1">
      <alignment horizontal="right"/>
    </xf>
    <xf numFmtId="0" fontId="4" fillId="0" borderId="0" xfId="0" applyFont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19050</xdr:rowOff>
    </xdr:from>
    <xdr:to>
      <xdr:col>6</xdr:col>
      <xdr:colOff>0</xdr:colOff>
      <xdr:row>3</xdr:row>
      <xdr:rowOff>142875</xdr:rowOff>
    </xdr:to>
    <xdr:sp macro="[0]!test_client" textlink="">
      <xdr:nvSpPr>
        <xdr:cNvPr id="2" name="Скругленный прямоугольник 1"/>
        <xdr:cNvSpPr/>
      </xdr:nvSpPr>
      <xdr:spPr>
        <a:xfrm>
          <a:off x="5924550" y="219075"/>
          <a:ext cx="95250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Выполнить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0</xdr:row>
          <xdr:rowOff>0</xdr:rowOff>
        </xdr:from>
        <xdr:to>
          <xdr:col>7</xdr:col>
          <xdr:colOff>104775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I52"/>
  <sheetViews>
    <sheetView tabSelected="1" workbookViewId="0">
      <selection activeCell="D12" sqref="D12"/>
    </sheetView>
  </sheetViews>
  <sheetFormatPr defaultColWidth="14.42578125" defaultRowHeight="15.75" customHeight="1" x14ac:dyDescent="0.2"/>
  <cols>
    <col min="1" max="1" width="21.7109375" customWidth="1"/>
    <col min="3" max="3" width="26.28515625" customWidth="1"/>
    <col min="4" max="4" width="37.85546875" customWidth="1"/>
    <col min="5" max="5" width="23.5703125" customWidth="1"/>
    <col min="6" max="6" width="17.7109375" customWidth="1"/>
    <col min="8" max="8" width="23.5703125" customWidth="1"/>
  </cols>
  <sheetData>
    <row r="1" spans="1:9" ht="15.75" customHeight="1" x14ac:dyDescent="0.2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</row>
    <row r="2" spans="1:9" ht="15" x14ac:dyDescent="0.25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</v>
      </c>
      <c r="F2" s="13" t="s">
        <v>13</v>
      </c>
      <c r="G2" s="13" t="s">
        <v>14</v>
      </c>
      <c r="H2" s="14">
        <v>0.25</v>
      </c>
      <c r="I2" s="14"/>
    </row>
    <row r="3" spans="1:9" ht="15" x14ac:dyDescent="0.25">
      <c r="A3" s="13" t="s">
        <v>15</v>
      </c>
      <c r="B3" s="13" t="s">
        <v>9</v>
      </c>
      <c r="C3" s="13" t="s">
        <v>10</v>
      </c>
      <c r="D3" s="13" t="s">
        <v>11</v>
      </c>
      <c r="E3" s="10" t="s">
        <v>40</v>
      </c>
      <c r="F3" s="13" t="s">
        <v>16</v>
      </c>
      <c r="G3" s="10" t="s">
        <v>17</v>
      </c>
      <c r="H3" s="14">
        <v>0.33300000000000002</v>
      </c>
      <c r="I3" s="14"/>
    </row>
    <row r="4" spans="1:9" ht="15" x14ac:dyDescent="0.25">
      <c r="A4" s="13" t="s">
        <v>8</v>
      </c>
      <c r="B4" s="13" t="s">
        <v>9</v>
      </c>
      <c r="C4" s="13" t="s">
        <v>10</v>
      </c>
      <c r="D4" s="13" t="s">
        <v>11</v>
      </c>
      <c r="E4" s="10" t="s">
        <v>40</v>
      </c>
      <c r="F4" s="13" t="s">
        <v>18</v>
      </c>
      <c r="G4" s="13" t="s">
        <v>19</v>
      </c>
      <c r="H4" s="14">
        <v>0.3</v>
      </c>
      <c r="I4" s="14"/>
    </row>
    <row r="5" spans="1:9" ht="15" x14ac:dyDescent="0.25">
      <c r="A5" s="13" t="s">
        <v>8</v>
      </c>
      <c r="B5" s="13" t="s">
        <v>9</v>
      </c>
      <c r="C5" s="13" t="s">
        <v>10</v>
      </c>
      <c r="D5" s="13" t="s">
        <v>11</v>
      </c>
      <c r="E5" s="10" t="s">
        <v>40</v>
      </c>
      <c r="F5" s="13" t="s">
        <v>20</v>
      </c>
      <c r="G5" s="13" t="s">
        <v>19</v>
      </c>
      <c r="H5" s="14">
        <v>0.61699999999999999</v>
      </c>
      <c r="I5" s="14"/>
    </row>
    <row r="6" spans="1:9" ht="15" x14ac:dyDescent="0.25">
      <c r="A6" s="13" t="s">
        <v>8</v>
      </c>
      <c r="B6" s="13" t="s">
        <v>9</v>
      </c>
      <c r="C6" s="13" t="s">
        <v>10</v>
      </c>
      <c r="D6" s="13" t="s">
        <v>11</v>
      </c>
      <c r="E6" s="13" t="s">
        <v>12</v>
      </c>
      <c r="F6" s="13" t="s">
        <v>21</v>
      </c>
      <c r="G6" s="13" t="s">
        <v>19</v>
      </c>
      <c r="H6" s="14">
        <v>1</v>
      </c>
      <c r="I6" s="14"/>
    </row>
    <row r="7" spans="1:9" ht="15" x14ac:dyDescent="0.25">
      <c r="A7" s="13" t="s">
        <v>8</v>
      </c>
      <c r="B7" s="13" t="s">
        <v>9</v>
      </c>
      <c r="C7" s="13" t="s">
        <v>22</v>
      </c>
      <c r="D7" s="13" t="s">
        <v>23</v>
      </c>
      <c r="E7" s="13" t="s">
        <v>24</v>
      </c>
      <c r="F7" s="13" t="s">
        <v>25</v>
      </c>
      <c r="G7" s="13" t="s">
        <v>19</v>
      </c>
      <c r="H7" s="14">
        <v>0.5</v>
      </c>
      <c r="I7" s="14"/>
    </row>
    <row r="8" spans="1:9" ht="15" x14ac:dyDescent="0.25">
      <c r="A8" s="13" t="s">
        <v>15</v>
      </c>
      <c r="B8" s="13" t="s">
        <v>9</v>
      </c>
      <c r="C8" s="13" t="s">
        <v>26</v>
      </c>
      <c r="D8" s="13" t="s">
        <v>27</v>
      </c>
      <c r="E8" s="10" t="s">
        <v>40</v>
      </c>
      <c r="F8" s="13" t="s">
        <v>28</v>
      </c>
      <c r="G8" s="13" t="s">
        <v>14</v>
      </c>
      <c r="H8" s="14">
        <v>8</v>
      </c>
      <c r="I8" s="14"/>
    </row>
    <row r="9" spans="1:9" ht="15" x14ac:dyDescent="0.25">
      <c r="A9" s="13" t="s">
        <v>15</v>
      </c>
      <c r="B9" s="13" t="s">
        <v>9</v>
      </c>
      <c r="C9" s="13" t="s">
        <v>26</v>
      </c>
      <c r="D9" s="13" t="s">
        <v>27</v>
      </c>
      <c r="E9" s="13" t="s">
        <v>24</v>
      </c>
      <c r="F9" s="13" t="s">
        <v>29</v>
      </c>
      <c r="G9" s="13" t="s">
        <v>14</v>
      </c>
      <c r="H9" s="14">
        <v>8</v>
      </c>
      <c r="I9" s="14"/>
    </row>
    <row r="10" spans="1:9" ht="15" x14ac:dyDescent="0.25">
      <c r="A10" s="13" t="s">
        <v>15</v>
      </c>
      <c r="B10" s="13" t="s">
        <v>9</v>
      </c>
      <c r="C10" s="13" t="s">
        <v>26</v>
      </c>
      <c r="D10" s="13" t="s">
        <v>27</v>
      </c>
      <c r="E10" s="13" t="s">
        <v>24</v>
      </c>
      <c r="F10" s="13" t="s">
        <v>30</v>
      </c>
      <c r="G10" s="13" t="s">
        <v>14</v>
      </c>
      <c r="H10" s="14">
        <v>3.3330000000000002</v>
      </c>
      <c r="I10" s="14"/>
    </row>
    <row r="11" spans="1:9" ht="15" x14ac:dyDescent="0.25">
      <c r="A11" s="13" t="s">
        <v>15</v>
      </c>
      <c r="B11" s="13" t="s">
        <v>9</v>
      </c>
      <c r="C11" s="13" t="s">
        <v>31</v>
      </c>
      <c r="D11" s="13" t="s">
        <v>32</v>
      </c>
      <c r="E11" s="13" t="s">
        <v>24</v>
      </c>
      <c r="F11" s="13" t="s">
        <v>33</v>
      </c>
      <c r="G11" s="13" t="s">
        <v>14</v>
      </c>
      <c r="H11" s="14">
        <v>5.3330000000000002</v>
      </c>
      <c r="I11" s="14"/>
    </row>
    <row r="12" spans="1:9" ht="15" x14ac:dyDescent="0.25">
      <c r="A12" s="13" t="s">
        <v>15</v>
      </c>
      <c r="B12" s="13" t="s">
        <v>9</v>
      </c>
      <c r="C12" s="13" t="s">
        <v>34</v>
      </c>
      <c r="D12" s="13" t="s">
        <v>35</v>
      </c>
      <c r="E12" s="13" t="s">
        <v>24</v>
      </c>
      <c r="F12" s="13" t="s">
        <v>36</v>
      </c>
      <c r="G12" s="13" t="s">
        <v>14</v>
      </c>
      <c r="H12" s="14">
        <v>6</v>
      </c>
      <c r="I12" s="14"/>
    </row>
    <row r="13" spans="1:9" ht="15" x14ac:dyDescent="0.25">
      <c r="A13" s="10" t="s">
        <v>37</v>
      </c>
      <c r="B13" s="10" t="s">
        <v>38</v>
      </c>
      <c r="C13" s="10" t="s">
        <v>39</v>
      </c>
      <c r="D13" s="10"/>
      <c r="E13" s="10" t="s">
        <v>40</v>
      </c>
      <c r="F13" s="13" t="s">
        <v>30</v>
      </c>
      <c r="G13" s="10" t="s">
        <v>19</v>
      </c>
      <c r="H13" s="12">
        <v>4</v>
      </c>
      <c r="I13" s="14"/>
    </row>
    <row r="14" spans="1:9" ht="15" x14ac:dyDescent="0.25">
      <c r="A14" s="10" t="s">
        <v>37</v>
      </c>
      <c r="B14" s="10" t="s">
        <v>38</v>
      </c>
      <c r="C14" s="10" t="s">
        <v>39</v>
      </c>
      <c r="D14" s="10"/>
      <c r="E14" s="10" t="s">
        <v>40</v>
      </c>
      <c r="F14" s="13" t="s">
        <v>33</v>
      </c>
      <c r="G14" s="10" t="s">
        <v>17</v>
      </c>
      <c r="H14" s="12">
        <v>2</v>
      </c>
      <c r="I14" s="14"/>
    </row>
    <row r="15" spans="1:9" ht="15" x14ac:dyDescent="0.25">
      <c r="A15" s="10" t="s">
        <v>37</v>
      </c>
      <c r="B15" s="10" t="s">
        <v>38</v>
      </c>
      <c r="C15" s="10" t="s">
        <v>41</v>
      </c>
      <c r="D15" s="10"/>
      <c r="E15" s="10" t="s">
        <v>40</v>
      </c>
      <c r="F15" s="13" t="s">
        <v>36</v>
      </c>
      <c r="G15" s="10" t="s">
        <v>17</v>
      </c>
      <c r="H15" s="12">
        <v>8</v>
      </c>
      <c r="I15" s="14"/>
    </row>
    <row r="16" spans="1:9" ht="15" x14ac:dyDescent="0.25">
      <c r="A16" s="10" t="s">
        <v>37</v>
      </c>
      <c r="B16" s="10" t="s">
        <v>38</v>
      </c>
      <c r="C16" s="10" t="s">
        <v>42</v>
      </c>
      <c r="D16" s="10"/>
      <c r="E16" s="10" t="s">
        <v>24</v>
      </c>
      <c r="F16" s="13" t="s">
        <v>21</v>
      </c>
      <c r="G16" s="10" t="s">
        <v>17</v>
      </c>
      <c r="H16" s="12">
        <v>10</v>
      </c>
      <c r="I16" s="14"/>
    </row>
    <row r="17" spans="1:8" ht="15" x14ac:dyDescent="0.25">
      <c r="A17" s="13" t="s">
        <v>8</v>
      </c>
      <c r="B17" s="13" t="s">
        <v>9</v>
      </c>
      <c r="C17" s="13" t="s">
        <v>10</v>
      </c>
      <c r="D17" s="13" t="s">
        <v>11</v>
      </c>
      <c r="E17" s="13" t="s">
        <v>12</v>
      </c>
      <c r="F17" s="13" t="s">
        <v>13</v>
      </c>
      <c r="G17" s="13" t="s">
        <v>14</v>
      </c>
      <c r="H17" s="14">
        <v>0.25</v>
      </c>
    </row>
    <row r="18" spans="1:8" ht="15.75" customHeight="1" x14ac:dyDescent="0.25">
      <c r="A18" s="13" t="s">
        <v>15</v>
      </c>
      <c r="B18" s="13" t="s">
        <v>9</v>
      </c>
      <c r="C18" s="13" t="s">
        <v>10</v>
      </c>
      <c r="D18" s="13" t="s">
        <v>11</v>
      </c>
      <c r="E18" s="13" t="s">
        <v>12</v>
      </c>
      <c r="F18" s="13" t="s">
        <v>16</v>
      </c>
      <c r="G18" s="10" t="s">
        <v>17</v>
      </c>
      <c r="H18" s="14">
        <v>0.33300000000000002</v>
      </c>
    </row>
    <row r="19" spans="1:8" ht="15.75" customHeight="1" x14ac:dyDescent="0.25">
      <c r="A19" s="13" t="s">
        <v>8</v>
      </c>
      <c r="B19" s="13" t="s">
        <v>9</v>
      </c>
      <c r="C19" s="13" t="s">
        <v>10</v>
      </c>
      <c r="D19" s="13" t="s">
        <v>11</v>
      </c>
      <c r="E19" s="10" t="s">
        <v>40</v>
      </c>
      <c r="F19" s="13" t="s">
        <v>18</v>
      </c>
      <c r="G19" s="13" t="s">
        <v>19</v>
      </c>
      <c r="H19" s="14">
        <v>0.3</v>
      </c>
    </row>
    <row r="20" spans="1:8" ht="15.75" customHeight="1" x14ac:dyDescent="0.25">
      <c r="A20" s="13" t="s">
        <v>8</v>
      </c>
      <c r="B20" s="13" t="s">
        <v>9</v>
      </c>
      <c r="C20" s="13" t="s">
        <v>10</v>
      </c>
      <c r="D20" s="13" t="s">
        <v>11</v>
      </c>
      <c r="E20" s="10" t="s">
        <v>40</v>
      </c>
      <c r="F20" s="13" t="s">
        <v>20</v>
      </c>
      <c r="G20" s="13" t="s">
        <v>19</v>
      </c>
      <c r="H20" s="14">
        <v>0.61699999999999999</v>
      </c>
    </row>
    <row r="21" spans="1:8" ht="15.75" customHeight="1" x14ac:dyDescent="0.25">
      <c r="A21" s="13" t="s">
        <v>8</v>
      </c>
      <c r="B21" s="13" t="s">
        <v>9</v>
      </c>
      <c r="C21" s="13" t="s">
        <v>10</v>
      </c>
      <c r="D21" s="13" t="s">
        <v>11</v>
      </c>
      <c r="E21" s="13" t="s">
        <v>12</v>
      </c>
      <c r="F21" s="13" t="s">
        <v>21</v>
      </c>
      <c r="G21" s="13" t="s">
        <v>19</v>
      </c>
      <c r="H21" s="14">
        <v>1</v>
      </c>
    </row>
    <row r="22" spans="1:8" ht="15.75" customHeight="1" x14ac:dyDescent="0.25">
      <c r="A22" s="13" t="s">
        <v>8</v>
      </c>
      <c r="B22" s="13" t="s">
        <v>9</v>
      </c>
      <c r="C22" s="13" t="s">
        <v>22</v>
      </c>
      <c r="D22" s="13" t="s">
        <v>23</v>
      </c>
      <c r="E22" s="13" t="s">
        <v>24</v>
      </c>
      <c r="F22" s="13" t="s">
        <v>25</v>
      </c>
      <c r="G22" s="13" t="s">
        <v>19</v>
      </c>
      <c r="H22" s="14">
        <v>0.5</v>
      </c>
    </row>
    <row r="23" spans="1:8" ht="15.75" customHeight="1" x14ac:dyDescent="0.25">
      <c r="A23" s="13" t="s">
        <v>15</v>
      </c>
      <c r="B23" s="13" t="s">
        <v>9</v>
      </c>
      <c r="C23" s="13" t="s">
        <v>26</v>
      </c>
      <c r="D23" s="13" t="s">
        <v>27</v>
      </c>
      <c r="E23" s="13" t="s">
        <v>24</v>
      </c>
      <c r="F23" s="13" t="s">
        <v>28</v>
      </c>
      <c r="G23" s="13" t="s">
        <v>14</v>
      </c>
      <c r="H23" s="14">
        <v>8</v>
      </c>
    </row>
    <row r="24" spans="1:8" ht="15.75" customHeight="1" x14ac:dyDescent="0.25">
      <c r="A24" s="13" t="s">
        <v>15</v>
      </c>
      <c r="B24" s="13" t="s">
        <v>9</v>
      </c>
      <c r="C24" s="13" t="s">
        <v>26</v>
      </c>
      <c r="D24" s="13" t="s">
        <v>27</v>
      </c>
      <c r="E24" s="13" t="s">
        <v>24</v>
      </c>
      <c r="F24" s="13" t="s">
        <v>29</v>
      </c>
      <c r="G24" s="13" t="s">
        <v>14</v>
      </c>
      <c r="H24" s="14">
        <v>8</v>
      </c>
    </row>
    <row r="25" spans="1:8" ht="15.75" customHeight="1" x14ac:dyDescent="0.25">
      <c r="A25" s="13" t="s">
        <v>15</v>
      </c>
      <c r="B25" s="13" t="s">
        <v>9</v>
      </c>
      <c r="C25" s="13" t="s">
        <v>26</v>
      </c>
      <c r="D25" s="13" t="s">
        <v>27</v>
      </c>
      <c r="E25" s="13" t="s">
        <v>24</v>
      </c>
      <c r="F25" s="13" t="s">
        <v>30</v>
      </c>
      <c r="G25" s="13" t="s">
        <v>14</v>
      </c>
      <c r="H25" s="14">
        <v>3.3330000000000002</v>
      </c>
    </row>
    <row r="26" spans="1:8" ht="15.75" customHeight="1" x14ac:dyDescent="0.25">
      <c r="A26" s="13" t="s">
        <v>15</v>
      </c>
      <c r="B26" s="13" t="s">
        <v>9</v>
      </c>
      <c r="C26" s="13" t="s">
        <v>31</v>
      </c>
      <c r="D26" s="13" t="s">
        <v>32</v>
      </c>
      <c r="E26" s="13" t="s">
        <v>24</v>
      </c>
      <c r="F26" s="13" t="s">
        <v>33</v>
      </c>
      <c r="G26" s="13" t="s">
        <v>14</v>
      </c>
      <c r="H26" s="14">
        <v>5.3330000000000002</v>
      </c>
    </row>
    <row r="27" spans="1:8" ht="15.75" customHeight="1" x14ac:dyDescent="0.25">
      <c r="A27" s="13" t="s">
        <v>15</v>
      </c>
      <c r="B27" s="13" t="s">
        <v>9</v>
      </c>
      <c r="C27" s="13" t="s">
        <v>34</v>
      </c>
      <c r="D27" s="13" t="s">
        <v>35</v>
      </c>
      <c r="E27" s="13" t="s">
        <v>24</v>
      </c>
      <c r="F27" s="13" t="s">
        <v>36</v>
      </c>
      <c r="G27" s="13" t="s">
        <v>14</v>
      </c>
      <c r="H27" s="14">
        <v>6</v>
      </c>
    </row>
    <row r="28" spans="1:8" ht="15.75" customHeight="1" x14ac:dyDescent="0.25">
      <c r="A28" s="10" t="s">
        <v>37</v>
      </c>
      <c r="B28" s="10" t="s">
        <v>38</v>
      </c>
      <c r="C28" s="10" t="s">
        <v>39</v>
      </c>
      <c r="D28" s="10"/>
      <c r="E28" s="10" t="s">
        <v>40</v>
      </c>
      <c r="F28" s="13" t="s">
        <v>30</v>
      </c>
      <c r="G28" s="10" t="s">
        <v>19</v>
      </c>
      <c r="H28" s="12">
        <v>4</v>
      </c>
    </row>
    <row r="29" spans="1:8" ht="15.75" customHeight="1" x14ac:dyDescent="0.25">
      <c r="A29" s="10" t="s">
        <v>37</v>
      </c>
      <c r="B29" s="10" t="s">
        <v>38</v>
      </c>
      <c r="C29" s="10" t="s">
        <v>39</v>
      </c>
      <c r="D29" s="10"/>
      <c r="E29" s="13" t="s">
        <v>24</v>
      </c>
      <c r="F29" s="13" t="s">
        <v>33</v>
      </c>
      <c r="G29" s="10" t="s">
        <v>17</v>
      </c>
      <c r="H29" s="14">
        <v>8</v>
      </c>
    </row>
    <row r="30" spans="1:8" ht="15.75" customHeight="1" x14ac:dyDescent="0.25">
      <c r="A30" s="10" t="s">
        <v>37</v>
      </c>
      <c r="B30" s="10" t="s">
        <v>38</v>
      </c>
      <c r="C30" s="10" t="s">
        <v>41</v>
      </c>
      <c r="D30" s="10"/>
      <c r="E30" s="13" t="s">
        <v>24</v>
      </c>
      <c r="F30" s="13" t="s">
        <v>36</v>
      </c>
      <c r="G30" s="10" t="s">
        <v>17</v>
      </c>
      <c r="H30" s="14">
        <v>8</v>
      </c>
    </row>
    <row r="31" spans="1:8" ht="15.75" customHeight="1" x14ac:dyDescent="0.25">
      <c r="A31" s="10" t="s">
        <v>37</v>
      </c>
      <c r="B31" s="10" t="s">
        <v>38</v>
      </c>
      <c r="C31" s="10" t="s">
        <v>42</v>
      </c>
      <c r="D31" s="10"/>
      <c r="E31" s="13" t="s">
        <v>24</v>
      </c>
      <c r="F31" s="13" t="s">
        <v>21</v>
      </c>
      <c r="G31" s="10" t="s">
        <v>17</v>
      </c>
      <c r="H31" s="14">
        <v>3.3330000000000002</v>
      </c>
    </row>
    <row r="32" spans="1:8" ht="15.75" customHeight="1" x14ac:dyDescent="0.25">
      <c r="A32" s="13" t="s">
        <v>8</v>
      </c>
      <c r="B32" s="13" t="s">
        <v>9</v>
      </c>
      <c r="C32" s="13" t="s">
        <v>10</v>
      </c>
      <c r="D32" s="13" t="s">
        <v>11</v>
      </c>
      <c r="E32" s="13" t="s">
        <v>12</v>
      </c>
      <c r="F32" s="13" t="s">
        <v>13</v>
      </c>
      <c r="G32" s="13" t="s">
        <v>14</v>
      </c>
      <c r="H32" s="14">
        <v>5.3330000000000002</v>
      </c>
    </row>
    <row r="33" spans="1:8" ht="15.75" customHeight="1" x14ac:dyDescent="0.25">
      <c r="A33" s="13" t="s">
        <v>15</v>
      </c>
      <c r="B33" s="13" t="s">
        <v>9</v>
      </c>
      <c r="C33" s="13" t="s">
        <v>10</v>
      </c>
      <c r="D33" s="13" t="s">
        <v>11</v>
      </c>
      <c r="E33" s="13" t="s">
        <v>12</v>
      </c>
      <c r="F33" s="13" t="s">
        <v>16</v>
      </c>
      <c r="G33" s="10" t="s">
        <v>17</v>
      </c>
      <c r="H33" s="14">
        <v>6</v>
      </c>
    </row>
    <row r="34" spans="1:8" ht="15.75" customHeight="1" x14ac:dyDescent="0.25">
      <c r="A34" s="13" t="s">
        <v>8</v>
      </c>
      <c r="B34" s="13" t="s">
        <v>9</v>
      </c>
      <c r="C34" s="13" t="s">
        <v>10</v>
      </c>
      <c r="D34" s="13" t="s">
        <v>11</v>
      </c>
      <c r="E34" s="13" t="s">
        <v>24</v>
      </c>
      <c r="F34" s="13" t="s">
        <v>18</v>
      </c>
      <c r="G34" s="13" t="s">
        <v>19</v>
      </c>
      <c r="H34" s="12">
        <v>4</v>
      </c>
    </row>
    <row r="35" spans="1:8" ht="15.75" customHeight="1" x14ac:dyDescent="0.25">
      <c r="A35" s="13" t="s">
        <v>8</v>
      </c>
      <c r="B35" s="13" t="s">
        <v>9</v>
      </c>
      <c r="C35" s="13" t="s">
        <v>10</v>
      </c>
      <c r="D35" s="13" t="s">
        <v>11</v>
      </c>
      <c r="E35" s="13" t="s">
        <v>24</v>
      </c>
      <c r="F35" s="13" t="s">
        <v>20</v>
      </c>
      <c r="G35" s="13" t="s">
        <v>19</v>
      </c>
      <c r="H35" s="12">
        <v>2</v>
      </c>
    </row>
    <row r="36" spans="1:8" ht="15.75" customHeight="1" x14ac:dyDescent="0.25">
      <c r="A36" s="13" t="s">
        <v>8</v>
      </c>
      <c r="B36" s="13" t="s">
        <v>9</v>
      </c>
      <c r="C36" s="13" t="s">
        <v>10</v>
      </c>
      <c r="D36" s="13" t="s">
        <v>11</v>
      </c>
      <c r="E36" s="13" t="s">
        <v>24</v>
      </c>
      <c r="F36" s="13" t="s">
        <v>21</v>
      </c>
      <c r="G36" s="13" t="s">
        <v>19</v>
      </c>
      <c r="H36" s="12">
        <v>8</v>
      </c>
    </row>
    <row r="37" spans="1:8" ht="15.75" customHeight="1" x14ac:dyDescent="0.25">
      <c r="A37" s="13" t="s">
        <v>8</v>
      </c>
      <c r="B37" s="13" t="s">
        <v>9</v>
      </c>
      <c r="C37" s="13" t="s">
        <v>22</v>
      </c>
      <c r="D37" s="13" t="s">
        <v>23</v>
      </c>
      <c r="E37" s="13" t="s">
        <v>24</v>
      </c>
      <c r="F37" s="13" t="s">
        <v>25</v>
      </c>
      <c r="G37" s="13" t="s">
        <v>19</v>
      </c>
      <c r="H37" s="14">
        <v>0.5</v>
      </c>
    </row>
    <row r="38" spans="1:8" ht="15.75" customHeight="1" x14ac:dyDescent="0.25">
      <c r="A38" s="13" t="s">
        <v>15</v>
      </c>
      <c r="B38" s="13" t="s">
        <v>9</v>
      </c>
      <c r="C38" s="13" t="s">
        <v>26</v>
      </c>
      <c r="D38" s="13" t="s">
        <v>27</v>
      </c>
      <c r="E38" s="13" t="s">
        <v>24</v>
      </c>
      <c r="F38" s="13" t="s">
        <v>28</v>
      </c>
      <c r="G38" s="13" t="s">
        <v>14</v>
      </c>
      <c r="H38" s="14">
        <v>8</v>
      </c>
    </row>
    <row r="39" spans="1:8" ht="15.75" customHeight="1" x14ac:dyDescent="0.25">
      <c r="A39" s="13" t="s">
        <v>15</v>
      </c>
      <c r="B39" s="13" t="s">
        <v>9</v>
      </c>
      <c r="C39" s="13" t="s">
        <v>26</v>
      </c>
      <c r="D39" s="13" t="s">
        <v>27</v>
      </c>
      <c r="E39" s="13" t="s">
        <v>24</v>
      </c>
      <c r="F39" s="13" t="s">
        <v>29</v>
      </c>
      <c r="G39" s="13" t="s">
        <v>14</v>
      </c>
      <c r="H39" s="14">
        <v>8</v>
      </c>
    </row>
    <row r="40" spans="1:8" ht="15.75" customHeight="1" x14ac:dyDescent="0.25">
      <c r="A40" s="13" t="s">
        <v>15</v>
      </c>
      <c r="B40" s="13" t="s">
        <v>9</v>
      </c>
      <c r="C40" s="13" t="s">
        <v>26</v>
      </c>
      <c r="D40" s="13" t="s">
        <v>27</v>
      </c>
      <c r="E40" s="13" t="s">
        <v>24</v>
      </c>
      <c r="F40" s="13" t="s">
        <v>30</v>
      </c>
      <c r="G40" s="13" t="s">
        <v>14</v>
      </c>
      <c r="H40" s="14">
        <v>3.3330000000000002</v>
      </c>
    </row>
    <row r="41" spans="1:8" ht="15.75" customHeight="1" x14ac:dyDescent="0.25">
      <c r="A41" s="13" t="s">
        <v>15</v>
      </c>
      <c r="B41" s="13" t="s">
        <v>9</v>
      </c>
      <c r="C41" s="13" t="s">
        <v>31</v>
      </c>
      <c r="D41" s="13" t="s">
        <v>32</v>
      </c>
      <c r="E41" s="13" t="s">
        <v>24</v>
      </c>
      <c r="F41" s="13" t="s">
        <v>33</v>
      </c>
      <c r="G41" s="13" t="s">
        <v>14</v>
      </c>
      <c r="H41" s="14">
        <v>5.3330000000000002</v>
      </c>
    </row>
    <row r="42" spans="1:8" ht="15.75" customHeight="1" x14ac:dyDescent="0.25">
      <c r="A42" s="13" t="s">
        <v>15</v>
      </c>
      <c r="B42" s="13" t="s">
        <v>9</v>
      </c>
      <c r="C42" s="13" t="s">
        <v>34</v>
      </c>
      <c r="D42" s="13" t="s">
        <v>35</v>
      </c>
      <c r="E42" s="13" t="s">
        <v>24</v>
      </c>
      <c r="F42" s="13" t="s">
        <v>36</v>
      </c>
      <c r="G42" s="13" t="s">
        <v>14</v>
      </c>
      <c r="H42" s="14">
        <v>6</v>
      </c>
    </row>
    <row r="43" spans="1:8" ht="15.75" customHeight="1" x14ac:dyDescent="0.25">
      <c r="A43" s="10" t="s">
        <v>37</v>
      </c>
      <c r="B43" s="10" t="s">
        <v>38</v>
      </c>
      <c r="C43" s="10" t="s">
        <v>39</v>
      </c>
      <c r="D43" s="10"/>
      <c r="E43" s="10" t="s">
        <v>40</v>
      </c>
      <c r="F43" s="13" t="s">
        <v>30</v>
      </c>
      <c r="G43" s="10" t="s">
        <v>19</v>
      </c>
      <c r="H43" s="12">
        <v>4</v>
      </c>
    </row>
    <row r="44" spans="1:8" ht="15.75" customHeight="1" x14ac:dyDescent="0.25">
      <c r="A44" s="10" t="s">
        <v>37</v>
      </c>
      <c r="B44" s="10" t="s">
        <v>38</v>
      </c>
      <c r="C44" s="10" t="s">
        <v>39</v>
      </c>
      <c r="D44" s="10"/>
      <c r="E44" s="13" t="s">
        <v>24</v>
      </c>
      <c r="F44" s="13" t="s">
        <v>33</v>
      </c>
      <c r="G44" s="10" t="s">
        <v>17</v>
      </c>
      <c r="H44" s="12">
        <v>2</v>
      </c>
    </row>
    <row r="45" spans="1:8" ht="15.75" customHeight="1" x14ac:dyDescent="0.25">
      <c r="A45" s="10" t="s">
        <v>37</v>
      </c>
      <c r="B45" s="10" t="s">
        <v>38</v>
      </c>
      <c r="C45" s="10" t="s">
        <v>41</v>
      </c>
      <c r="D45" s="10"/>
      <c r="E45" s="13" t="s">
        <v>24</v>
      </c>
      <c r="F45" s="13" t="s">
        <v>36</v>
      </c>
      <c r="G45" s="10" t="s">
        <v>17</v>
      </c>
      <c r="H45" s="12">
        <v>8</v>
      </c>
    </row>
    <row r="46" spans="1:8" ht="15.75" customHeight="1" x14ac:dyDescent="0.25">
      <c r="A46" s="10" t="s">
        <v>37</v>
      </c>
      <c r="B46" s="10" t="s">
        <v>38</v>
      </c>
      <c r="C46" s="10" t="s">
        <v>42</v>
      </c>
      <c r="D46" s="10"/>
      <c r="E46" s="13" t="s">
        <v>24</v>
      </c>
      <c r="F46" s="13" t="s">
        <v>21</v>
      </c>
      <c r="G46" s="10" t="s">
        <v>17</v>
      </c>
      <c r="H46" s="12">
        <v>10</v>
      </c>
    </row>
    <row r="47" spans="1:8" ht="15.75" customHeight="1" x14ac:dyDescent="0.25">
      <c r="A47" s="13" t="s">
        <v>15</v>
      </c>
      <c r="B47" s="13" t="s">
        <v>9</v>
      </c>
      <c r="C47" s="13" t="s">
        <v>34</v>
      </c>
      <c r="E47" s="15" t="s">
        <v>51</v>
      </c>
      <c r="F47" s="13" t="s">
        <v>33</v>
      </c>
      <c r="G47" s="13" t="s">
        <v>14</v>
      </c>
      <c r="H47" s="14">
        <v>5.3330000000000002</v>
      </c>
    </row>
    <row r="48" spans="1:8" ht="15.75" customHeight="1" x14ac:dyDescent="0.25">
      <c r="A48" s="10" t="s">
        <v>37</v>
      </c>
      <c r="B48" s="10" t="s">
        <v>38</v>
      </c>
      <c r="C48" s="10" t="s">
        <v>39</v>
      </c>
      <c r="E48" s="15" t="s">
        <v>51</v>
      </c>
      <c r="F48" s="13" t="s">
        <v>36</v>
      </c>
      <c r="G48" s="13" t="s">
        <v>14</v>
      </c>
      <c r="H48" s="14">
        <v>6</v>
      </c>
    </row>
    <row r="49" spans="1:8" ht="15.75" customHeight="1" x14ac:dyDescent="0.25">
      <c r="A49" s="10" t="s">
        <v>37</v>
      </c>
      <c r="B49" s="10" t="s">
        <v>38</v>
      </c>
      <c r="C49" s="10" t="s">
        <v>39</v>
      </c>
      <c r="E49" s="15" t="s">
        <v>51</v>
      </c>
      <c r="F49" s="13" t="s">
        <v>30</v>
      </c>
      <c r="G49" s="10" t="s">
        <v>19</v>
      </c>
      <c r="H49" s="12">
        <v>4</v>
      </c>
    </row>
    <row r="50" spans="1:8" ht="15.75" customHeight="1" x14ac:dyDescent="0.25">
      <c r="A50" s="10" t="s">
        <v>37</v>
      </c>
      <c r="B50" s="10" t="s">
        <v>38</v>
      </c>
      <c r="C50" s="10" t="s">
        <v>41</v>
      </c>
      <c r="E50" s="15" t="s">
        <v>51</v>
      </c>
      <c r="F50" s="13" t="s">
        <v>33</v>
      </c>
      <c r="G50" s="10" t="s">
        <v>17</v>
      </c>
      <c r="H50" s="12">
        <v>2</v>
      </c>
    </row>
    <row r="51" spans="1:8" ht="15.75" customHeight="1" x14ac:dyDescent="0.25">
      <c r="A51" s="10" t="s">
        <v>37</v>
      </c>
      <c r="B51" s="10" t="s">
        <v>38</v>
      </c>
      <c r="C51" s="10" t="s">
        <v>42</v>
      </c>
      <c r="E51" s="15" t="s">
        <v>51</v>
      </c>
      <c r="F51" s="13" t="s">
        <v>36</v>
      </c>
      <c r="G51" s="10" t="s">
        <v>17</v>
      </c>
      <c r="H51" s="12">
        <v>8</v>
      </c>
    </row>
    <row r="52" spans="1:8" ht="15.75" customHeight="1" x14ac:dyDescent="0.25">
      <c r="F52" s="13"/>
      <c r="G52" s="10"/>
      <c r="H52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</sheetPr>
  <dimension ref="D2:E42"/>
  <sheetViews>
    <sheetView workbookViewId="0">
      <selection activeCell="C1" sqref="A1:C1048576"/>
    </sheetView>
  </sheetViews>
  <sheetFormatPr defaultColWidth="14.42578125" defaultRowHeight="15.75" customHeight="1" x14ac:dyDescent="0.2"/>
  <cols>
    <col min="1" max="2" width="22.7109375" customWidth="1"/>
  </cols>
  <sheetData>
    <row r="2" spans="4:5" ht="12.75" x14ac:dyDescent="0.2">
      <c r="D2">
        <f>SUMIFS('Проекты (выгрузка)'!$H$2:$H$51,'Проекты (выгрузка)'!$E$2:$E$51,'Затраты заказчика'!$A$1,'Проекты (выгрузка)'!$C$2:$C$51,'Затраты заказчика'!B2)</f>
        <v>0</v>
      </c>
      <c r="E2" t="b">
        <f>C2=D2</f>
        <v>1</v>
      </c>
    </row>
    <row r="3" spans="4:5" ht="12.75" x14ac:dyDescent="0.2">
      <c r="D3">
        <f>SUMIFS('Проекты (выгрузка)'!$H$2:$H$51,'Проекты (выгрузка)'!$E$2:$E$51,'Затраты заказчика'!$A$1,'Проекты (выгрузка)'!$C$2:$C$51,'Затраты заказчика'!B3)</f>
        <v>0</v>
      </c>
      <c r="E3" t="b">
        <f t="shared" ref="E3:E42" si="0">C3=D3</f>
        <v>1</v>
      </c>
    </row>
    <row r="4" spans="4:5" ht="12.75" x14ac:dyDescent="0.2">
      <c r="D4">
        <f>SUMIFS('Проекты (выгрузка)'!$H$2:$H$51,'Проекты (выгрузка)'!$E$2:$E$51,'Затраты заказчика'!$A$1,'Проекты (выгрузка)'!$C$2:$C$51,'Затраты заказчика'!B4)</f>
        <v>0</v>
      </c>
      <c r="E4" t="b">
        <f t="shared" si="0"/>
        <v>1</v>
      </c>
    </row>
    <row r="5" spans="4:5" ht="12.75" x14ac:dyDescent="0.2">
      <c r="D5">
        <f>SUMIFS('Проекты (выгрузка)'!$H$2:$H$51,'Проекты (выгрузка)'!$E$2:$E$51,'Затраты заказчика'!$A$1,'Проекты (выгрузка)'!$C$2:$C$51,'Затраты заказчика'!B5)</f>
        <v>0</v>
      </c>
      <c r="E5" t="b">
        <f t="shared" si="0"/>
        <v>1</v>
      </c>
    </row>
    <row r="6" spans="4:5" ht="12.75" x14ac:dyDescent="0.2">
      <c r="D6">
        <f>SUMIFS('Проекты (выгрузка)'!$H$2:$H$51,'Проекты (выгрузка)'!$E$2:$E$51,'Затраты заказчика'!$A$1,'Проекты (выгрузка)'!$C$2:$C$51,'Затраты заказчика'!B6)</f>
        <v>0</v>
      </c>
      <c r="E6" t="b">
        <f t="shared" si="0"/>
        <v>1</v>
      </c>
    </row>
    <row r="7" spans="4:5" ht="12.75" x14ac:dyDescent="0.2">
      <c r="D7">
        <f>SUMIFS('Проекты (выгрузка)'!$H$2:$H$51,'Проекты (выгрузка)'!$E$2:$E$51,'Затраты заказчика'!$A$1,'Проекты (выгрузка)'!$C$2:$C$51,'Затраты заказчика'!B7)</f>
        <v>0</v>
      </c>
      <c r="E7" t="b">
        <f t="shared" si="0"/>
        <v>1</v>
      </c>
    </row>
    <row r="8" spans="4:5" ht="15.75" customHeight="1" x14ac:dyDescent="0.2">
      <c r="D8">
        <f>SUMIFS('Проекты (выгрузка)'!$H$2:$H$51,'Проекты (выгрузка)'!$E$2:$E$51,'Затраты заказчика'!$A$1,'Проекты (выгрузка)'!$C$2:$C$51,'Затраты заказчика'!B8)</f>
        <v>0</v>
      </c>
      <c r="E8" t="b">
        <f t="shared" si="0"/>
        <v>1</v>
      </c>
    </row>
    <row r="9" spans="4:5" ht="15.75" customHeight="1" x14ac:dyDescent="0.2">
      <c r="D9">
        <f>SUMIFS('Проекты (выгрузка)'!$H$2:$H$51,'Проекты (выгрузка)'!$E$2:$E$51,'Затраты заказчика'!$A$1,'Проекты (выгрузка)'!$C$2:$C$51,'Затраты заказчика'!B9)</f>
        <v>0</v>
      </c>
      <c r="E9" t="b">
        <f t="shared" si="0"/>
        <v>1</v>
      </c>
    </row>
    <row r="10" spans="4:5" ht="15.75" customHeight="1" x14ac:dyDescent="0.2">
      <c r="D10">
        <f>SUM(D2:D9)</f>
        <v>0</v>
      </c>
      <c r="E10" t="b">
        <f t="shared" si="0"/>
        <v>1</v>
      </c>
    </row>
    <row r="11" spans="4:5" ht="15.75" customHeight="1" x14ac:dyDescent="0.2">
      <c r="E11" t="b">
        <f t="shared" si="0"/>
        <v>1</v>
      </c>
    </row>
    <row r="12" spans="4:5" ht="15.75" customHeight="1" x14ac:dyDescent="0.2">
      <c r="D12">
        <f>SUMIFS('Проекты (выгрузка)'!$H$2:$H$51,'Проекты (выгрузка)'!$E$2:$E$51,'Затраты заказчика'!$A$11,'Проекты (выгрузка)'!$C$2:$C$51,'Затраты заказчика'!B12)</f>
        <v>0</v>
      </c>
      <c r="E12" t="b">
        <f t="shared" si="0"/>
        <v>1</v>
      </c>
    </row>
    <row r="13" spans="4:5" ht="15.75" customHeight="1" x14ac:dyDescent="0.2">
      <c r="D13">
        <f>SUMIFS('Проекты (выгрузка)'!$H$2:$H$51,'Проекты (выгрузка)'!$E$2:$E$51,'Затраты заказчика'!$A$11,'Проекты (выгрузка)'!$C$2:$C$51,'Затраты заказчика'!B13)</f>
        <v>0</v>
      </c>
      <c r="E13" t="b">
        <f t="shared" si="0"/>
        <v>1</v>
      </c>
    </row>
    <row r="14" spans="4:5" ht="15.75" customHeight="1" x14ac:dyDescent="0.2">
      <c r="D14">
        <f>SUMIFS('Проекты (выгрузка)'!$H$2:$H$51,'Проекты (выгрузка)'!$E$2:$E$51,'Затраты заказчика'!$A$11,'Проекты (выгрузка)'!$C$2:$C$51,'Затраты заказчика'!B14)</f>
        <v>0</v>
      </c>
      <c r="E14" t="b">
        <f t="shared" si="0"/>
        <v>1</v>
      </c>
    </row>
    <row r="15" spans="4:5" ht="15.75" customHeight="1" x14ac:dyDescent="0.2">
      <c r="D15">
        <f>SUMIFS('Проекты (выгрузка)'!$H$2:$H$51,'Проекты (выгрузка)'!$E$2:$E$51,'Затраты заказчика'!$A$11,'Проекты (выгрузка)'!$C$2:$C$51,'Затраты заказчика'!B15)</f>
        <v>0</v>
      </c>
      <c r="E15" t="b">
        <f t="shared" si="0"/>
        <v>1</v>
      </c>
    </row>
    <row r="16" spans="4:5" ht="15.75" customHeight="1" x14ac:dyDescent="0.2">
      <c r="D16">
        <f>SUMIFS('Проекты (выгрузка)'!$H$2:$H$51,'Проекты (выгрузка)'!$E$2:$E$51,'Затраты заказчика'!$A$11,'Проекты (выгрузка)'!$C$2:$C$51,'Затраты заказчика'!B16)</f>
        <v>0</v>
      </c>
      <c r="E16" t="b">
        <f t="shared" si="0"/>
        <v>1</v>
      </c>
    </row>
    <row r="17" spans="4:5" ht="15.75" customHeight="1" x14ac:dyDescent="0.2">
      <c r="D17">
        <f>SUMIFS('Проекты (выгрузка)'!$H$2:$H$51,'Проекты (выгрузка)'!$E$2:$E$51,'Затраты заказчика'!$A$11,'Проекты (выгрузка)'!$C$2:$C$51,'Затраты заказчика'!B17)</f>
        <v>0</v>
      </c>
      <c r="E17" t="b">
        <f t="shared" si="0"/>
        <v>1</v>
      </c>
    </row>
    <row r="18" spans="4:5" ht="15.75" customHeight="1" x14ac:dyDescent="0.2">
      <c r="D18">
        <f>SUMIFS('Проекты (выгрузка)'!$H$2:$H$51,'Проекты (выгрузка)'!$E$2:$E$51,'Затраты заказчика'!$A$11,'Проекты (выгрузка)'!$C$2:$C$51,'Затраты заказчика'!B18)</f>
        <v>0</v>
      </c>
      <c r="E18" t="b">
        <f t="shared" si="0"/>
        <v>1</v>
      </c>
    </row>
    <row r="19" spans="4:5" ht="15.75" customHeight="1" x14ac:dyDescent="0.2">
      <c r="D19">
        <f>SUMIFS('Проекты (выгрузка)'!$H$2:$H$51,'Проекты (выгрузка)'!$E$2:$E$51,'Затраты заказчика'!$A$11,'Проекты (выгрузка)'!$C$2:$C$51,'Затраты заказчика'!B19)</f>
        <v>0</v>
      </c>
      <c r="E19" t="b">
        <f t="shared" si="0"/>
        <v>1</v>
      </c>
    </row>
    <row r="20" spans="4:5" ht="15.75" customHeight="1" x14ac:dyDescent="0.2">
      <c r="D20">
        <f>SUM(D12:D19)</f>
        <v>0</v>
      </c>
      <c r="E20" t="b">
        <f t="shared" si="0"/>
        <v>1</v>
      </c>
    </row>
    <row r="21" spans="4:5" ht="15.75" customHeight="1" x14ac:dyDescent="0.2">
      <c r="E21" t="b">
        <f t="shared" si="0"/>
        <v>1</v>
      </c>
    </row>
    <row r="22" spans="4:5" ht="15.75" customHeight="1" x14ac:dyDescent="0.2">
      <c r="D22">
        <f>SUMIFS('Проекты (выгрузка)'!$H$2:$H$51,'Проекты (выгрузка)'!$E$2:$E$51,'Затраты заказчика'!$A$21,'Проекты (выгрузка)'!$C$2:$C$51,'Затраты заказчика'!B22)</f>
        <v>0</v>
      </c>
      <c r="E22" t="b">
        <f t="shared" si="0"/>
        <v>1</v>
      </c>
    </row>
    <row r="23" spans="4:5" ht="15.75" customHeight="1" x14ac:dyDescent="0.2">
      <c r="D23">
        <f>SUMIFS('Проекты (выгрузка)'!$H$2:$H$51,'Проекты (выгрузка)'!$E$2:$E$51,'Затраты заказчика'!$A$21,'Проекты (выгрузка)'!$C$2:$C$51,'Затраты заказчика'!B23)</f>
        <v>0</v>
      </c>
      <c r="E23" t="b">
        <f t="shared" si="0"/>
        <v>1</v>
      </c>
    </row>
    <row r="24" spans="4:5" ht="15.75" customHeight="1" x14ac:dyDescent="0.2">
      <c r="D24">
        <f>SUMIFS('Проекты (выгрузка)'!$H$2:$H$51,'Проекты (выгрузка)'!$E$2:$E$51,'Затраты заказчика'!$A$21,'Проекты (выгрузка)'!$C$2:$C$51,'Затраты заказчика'!B24)</f>
        <v>0</v>
      </c>
      <c r="E24" t="b">
        <f t="shared" si="0"/>
        <v>1</v>
      </c>
    </row>
    <row r="25" spans="4:5" ht="15.75" customHeight="1" x14ac:dyDescent="0.2">
      <c r="D25">
        <f>SUMIFS('Проекты (выгрузка)'!$H$2:$H$51,'Проекты (выгрузка)'!$E$2:$E$51,'Затраты заказчика'!$A$21,'Проекты (выгрузка)'!$C$2:$C$51,'Затраты заказчика'!B25)</f>
        <v>0</v>
      </c>
      <c r="E25" t="b">
        <f t="shared" si="0"/>
        <v>1</v>
      </c>
    </row>
    <row r="26" spans="4:5" ht="15.75" customHeight="1" x14ac:dyDescent="0.2">
      <c r="D26">
        <f>SUMIFS('Проекты (выгрузка)'!$H$2:$H$51,'Проекты (выгрузка)'!$E$2:$E$51,'Затраты заказчика'!$A$21,'Проекты (выгрузка)'!$C$2:$C$51,'Затраты заказчика'!B26)</f>
        <v>0</v>
      </c>
      <c r="E26" t="b">
        <f t="shared" si="0"/>
        <v>1</v>
      </c>
    </row>
    <row r="27" spans="4:5" ht="15.75" customHeight="1" x14ac:dyDescent="0.2">
      <c r="D27">
        <f>SUMIFS('Проекты (выгрузка)'!$H$2:$H$51,'Проекты (выгрузка)'!$E$2:$E$51,'Затраты заказчика'!$A$21,'Проекты (выгрузка)'!$C$2:$C$51,'Затраты заказчика'!B27)</f>
        <v>0</v>
      </c>
      <c r="E27" t="b">
        <f t="shared" si="0"/>
        <v>1</v>
      </c>
    </row>
    <row r="28" spans="4:5" ht="15.75" customHeight="1" x14ac:dyDescent="0.2">
      <c r="D28">
        <f>SUMIFS('Проекты (выгрузка)'!$H$2:$H$51,'Проекты (выгрузка)'!$E$2:$E$51,'Затраты заказчика'!$A$21,'Проекты (выгрузка)'!$C$2:$C$51,'Затраты заказчика'!B28)</f>
        <v>0</v>
      </c>
      <c r="E28" t="b">
        <f t="shared" si="0"/>
        <v>1</v>
      </c>
    </row>
    <row r="29" spans="4:5" ht="15.75" customHeight="1" x14ac:dyDescent="0.2">
      <c r="D29">
        <f>SUMIFS('Проекты (выгрузка)'!$H$2:$H$51,'Проекты (выгрузка)'!$E$2:$E$51,'Затраты заказчика'!$A$21,'Проекты (выгрузка)'!$C$2:$C$51,'Затраты заказчика'!B29)</f>
        <v>0</v>
      </c>
      <c r="E29" t="b">
        <f t="shared" si="0"/>
        <v>1</v>
      </c>
    </row>
    <row r="30" spans="4:5" ht="15.75" customHeight="1" x14ac:dyDescent="0.2">
      <c r="D30">
        <f>SUM(D22:D29)</f>
        <v>0</v>
      </c>
      <c r="E30" t="b">
        <f t="shared" si="0"/>
        <v>1</v>
      </c>
    </row>
    <row r="31" spans="4:5" ht="15.75" customHeight="1" x14ac:dyDescent="0.2">
      <c r="E31" t="b">
        <f t="shared" si="0"/>
        <v>1</v>
      </c>
    </row>
    <row r="32" spans="4:5" ht="12.75" x14ac:dyDescent="0.2">
      <c r="D32">
        <f>SUMIFS('Проекты (выгрузка)'!$H$2:$H$51,'Проекты (выгрузка)'!$E$2:$E$51,'Затраты заказчика'!$A$31,'Проекты (выгрузка)'!$C$2:$C$51,'Затраты заказчика'!B32)</f>
        <v>0</v>
      </c>
      <c r="E32" t="b">
        <f t="shared" si="0"/>
        <v>1</v>
      </c>
    </row>
    <row r="33" spans="4:5" ht="12.75" x14ac:dyDescent="0.2">
      <c r="D33">
        <f>SUMIFS('Проекты (выгрузка)'!$H$2:$H$51,'Проекты (выгрузка)'!$E$2:$E$51,'Затраты заказчика'!$A$31,'Проекты (выгрузка)'!$C$2:$C$51,'Затраты заказчика'!B33)</f>
        <v>0</v>
      </c>
      <c r="E33" t="b">
        <f t="shared" si="0"/>
        <v>1</v>
      </c>
    </row>
    <row r="34" spans="4:5" ht="12.75" x14ac:dyDescent="0.2">
      <c r="D34">
        <f>SUMIFS('Проекты (выгрузка)'!$H$2:$H$51,'Проекты (выгрузка)'!$E$2:$E$51,'Затраты заказчика'!$A$31,'Проекты (выгрузка)'!$C$2:$C$51,'Затраты заказчика'!B34)</f>
        <v>0</v>
      </c>
      <c r="E34" t="b">
        <f t="shared" si="0"/>
        <v>1</v>
      </c>
    </row>
    <row r="35" spans="4:5" ht="12.75" x14ac:dyDescent="0.2">
      <c r="D35">
        <f>SUMIFS('Проекты (выгрузка)'!$H$2:$H$51,'Проекты (выгрузка)'!$E$2:$E$51,'Затраты заказчика'!$A$31,'Проекты (выгрузка)'!$C$2:$C$51,'Затраты заказчика'!B35)</f>
        <v>0</v>
      </c>
      <c r="E35" t="b">
        <f t="shared" si="0"/>
        <v>1</v>
      </c>
    </row>
    <row r="36" spans="4:5" ht="15.75" customHeight="1" x14ac:dyDescent="0.2">
      <c r="D36">
        <f>SUMIFS('Проекты (выгрузка)'!$H$2:$H$51,'Проекты (выгрузка)'!$E$2:$E$51,'Затраты заказчика'!$A$31,'Проекты (выгрузка)'!$C$2:$C$51,'Затраты заказчика'!B36)</f>
        <v>0</v>
      </c>
      <c r="E36" t="b">
        <f t="shared" si="0"/>
        <v>1</v>
      </c>
    </row>
    <row r="37" spans="4:5" ht="15.75" customHeight="1" x14ac:dyDescent="0.2">
      <c r="D37">
        <f>SUMIFS('Проекты (выгрузка)'!$H$2:$H$51,'Проекты (выгрузка)'!$E$2:$E$51,'Затраты заказчика'!$A$31,'Проекты (выгрузка)'!$C$2:$C$51,'Затраты заказчика'!B37)</f>
        <v>0</v>
      </c>
      <c r="E37" t="b">
        <f t="shared" si="0"/>
        <v>1</v>
      </c>
    </row>
    <row r="38" spans="4:5" ht="15.75" customHeight="1" x14ac:dyDescent="0.2">
      <c r="D38">
        <f>SUMIFS('Проекты (выгрузка)'!$H$2:$H$51,'Проекты (выгрузка)'!$E$2:$E$51,'Затраты заказчика'!$A$31,'Проекты (выгрузка)'!$C$2:$C$51,'Затраты заказчика'!B38)</f>
        <v>0</v>
      </c>
      <c r="E38" t="b">
        <f t="shared" si="0"/>
        <v>1</v>
      </c>
    </row>
    <row r="39" spans="4:5" ht="15.75" customHeight="1" x14ac:dyDescent="0.2">
      <c r="D39">
        <f>SUMIFS('Проекты (выгрузка)'!$H$2:$H$51,'Проекты (выгрузка)'!$E$2:$E$51,'Затраты заказчика'!$A$31,'Проекты (выгрузка)'!$C$2:$C$51,'Затраты заказчика'!B39)</f>
        <v>0</v>
      </c>
      <c r="E39" t="b">
        <f t="shared" si="0"/>
        <v>1</v>
      </c>
    </row>
    <row r="40" spans="4:5" ht="15.75" customHeight="1" x14ac:dyDescent="0.2">
      <c r="D40">
        <f>SUM(D32:D39)</f>
        <v>0</v>
      </c>
      <c r="E40" t="b">
        <f t="shared" si="0"/>
        <v>1</v>
      </c>
    </row>
    <row r="41" spans="4:5" ht="15.75" customHeight="1" x14ac:dyDescent="0.2">
      <c r="E41" t="b">
        <f t="shared" si="0"/>
        <v>1</v>
      </c>
    </row>
    <row r="42" spans="4:5" ht="15.75" customHeight="1" x14ac:dyDescent="0.2">
      <c r="D42">
        <f>SUM(D40,D30,D20,D10)</f>
        <v>0</v>
      </c>
      <c r="E42" t="b">
        <f t="shared" si="0"/>
        <v>1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E5"/>
  <sheetViews>
    <sheetView workbookViewId="0">
      <selection activeCell="D2" sqref="D2:E4"/>
    </sheetView>
  </sheetViews>
  <sheetFormatPr defaultColWidth="14.42578125" defaultRowHeight="15.75" customHeight="1" x14ac:dyDescent="0.2"/>
  <cols>
    <col min="2" max="2" width="21.5703125" customWidth="1"/>
    <col min="3" max="3" width="22.85546875" customWidth="1"/>
  </cols>
  <sheetData>
    <row r="1" spans="1:5" ht="15.75" customHeight="1" x14ac:dyDescent="0.2">
      <c r="A1" s="7" t="s">
        <v>43</v>
      </c>
      <c r="B1" s="1" t="s">
        <v>44</v>
      </c>
      <c r="C1" s="7" t="s">
        <v>45</v>
      </c>
      <c r="D1" s="3" t="s">
        <v>46</v>
      </c>
      <c r="E1" s="3" t="s">
        <v>47</v>
      </c>
    </row>
    <row r="2" spans="1:5" ht="12.75" x14ac:dyDescent="0.2">
      <c r="A2" t="s">
        <v>19</v>
      </c>
      <c r="B2" s="2" t="s">
        <v>48</v>
      </c>
      <c r="C2" s="8">
        <v>50000</v>
      </c>
      <c r="D2" s="4"/>
      <c r="E2" s="4"/>
    </row>
    <row r="3" spans="1:5" ht="12.75" x14ac:dyDescent="0.2">
      <c r="A3" t="s">
        <v>14</v>
      </c>
      <c r="B3" s="2" t="s">
        <v>49</v>
      </c>
      <c r="C3" s="8">
        <v>60000</v>
      </c>
      <c r="D3" s="4"/>
      <c r="E3" s="4"/>
    </row>
    <row r="4" spans="1:5" ht="15.75" customHeight="1" x14ac:dyDescent="0.2">
      <c r="A4" t="s">
        <v>17</v>
      </c>
      <c r="B4" s="3" t="s">
        <v>50</v>
      </c>
      <c r="C4" s="9">
        <v>20000</v>
      </c>
      <c r="D4" s="5"/>
      <c r="E4" s="4"/>
    </row>
    <row r="5" spans="1:5" ht="15.75" customHeight="1" x14ac:dyDescent="0.2">
      <c r="A5" s="3"/>
      <c r="B5" s="3"/>
      <c r="C5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_salary">
                <anchor moveWithCells="1" sizeWithCells="1">
                  <from>
                    <xdr:col>5</xdr:col>
                    <xdr:colOff>657225</xdr:colOff>
                    <xdr:row>0</xdr:row>
                    <xdr:rowOff>0</xdr:rowOff>
                  </from>
                  <to>
                    <xdr:col>7</xdr:col>
                    <xdr:colOff>104775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Проекты (выгрузка)</vt:lpstr>
      <vt:lpstr>Затраты заказчика</vt:lpstr>
      <vt:lpstr>Зарплаты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Julaysa</dc:creator>
  <cp:lastModifiedBy>Julaysa</cp:lastModifiedBy>
  <dcterms:created xsi:type="dcterms:W3CDTF">2022-11-17T13:45:02Z</dcterms:created>
  <dcterms:modified xsi:type="dcterms:W3CDTF">2022-11-22T04:51:26Z</dcterms:modified>
</cp:coreProperties>
</file>